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tanabeShingo/presemi/"/>
    </mc:Choice>
  </mc:AlternateContent>
  <xr:revisionPtr revIDLastSave="0" documentId="13_ncr:40009_{05ECD433-9D7F-2F44-AD89-3F48E1C9E12D}" xr6:coauthVersionLast="46" xr6:coauthVersionMax="46" xr10:uidLastSave="{00000000-0000-0000-0000-000000000000}"/>
  <bookViews>
    <workbookView xWindow="240" yWindow="500" windowWidth="28300" windowHeight="16380"/>
  </bookViews>
  <sheets>
    <sheet name="confusion-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J2" i="1" a="1"/>
  <c r="K2" i="1" a="1"/>
  <c r="K3" i="1" a="1"/>
  <c r="K7" i="1" a="1"/>
  <c r="K8" i="1" a="1"/>
  <c r="K6" i="1" a="1"/>
  <c r="K4" i="1" a="1"/>
  <c r="K5" i="1" a="1"/>
  <c r="J3" i="1" a="1"/>
  <c r="J7" i="1" a="1"/>
  <c r="J8" i="1" a="1"/>
  <c r="J6" i="1" a="1"/>
  <c r="J4" i="1" a="1"/>
  <c r="J5" i="1" a="1"/>
  <c r="J2" i="1" l="1"/>
  <c r="K2" i="1"/>
  <c r="M2" i="1"/>
  <c r="K5" i="1"/>
  <c r="K4" i="1"/>
  <c r="K6" i="1"/>
  <c r="K8" i="1"/>
  <c r="K7" i="1"/>
  <c r="K3" i="1"/>
  <c r="J5" i="1"/>
  <c r="J4" i="1"/>
  <c r="J6" i="1"/>
  <c r="J8" i="1"/>
  <c r="J7" i="1"/>
  <c r="J3" i="1"/>
  <c r="L2" i="1"/>
  <c r="L4" i="1"/>
  <c r="L6" i="1"/>
  <c r="L8" i="1"/>
  <c r="L7" i="1"/>
  <c r="L3" i="1"/>
  <c r="L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<sst xmlns="http://schemas.openxmlformats.org/spreadsheetml/2006/main" count="19" uniqueCount="12">
  <si>
    <t>angry</t>
  </si>
  <si>
    <t>disgust</t>
  </si>
  <si>
    <t>fear</t>
  </si>
  <si>
    <t>happy</t>
  </si>
  <si>
    <t>neutral</t>
  </si>
  <si>
    <t>sad</t>
  </si>
  <si>
    <t>surprise</t>
  </si>
  <si>
    <t>正解数</t>
    <rPh sb="0" eb="3">
      <t xml:space="preserve">セイカイスウ </t>
    </rPh>
    <phoneticPr fontId="18"/>
  </si>
  <si>
    <t>再現率</t>
    <rPh sb="0" eb="3">
      <t xml:space="preserve">サイゲンリツ </t>
    </rPh>
    <phoneticPr fontId="18"/>
  </si>
  <si>
    <t>適合率</t>
    <rPh sb="0" eb="3">
      <t xml:space="preserve">テキゴウリツ </t>
    </rPh>
    <phoneticPr fontId="18"/>
  </si>
  <si>
    <t>F値</t>
    <rPh sb="1" eb="2">
      <t xml:space="preserve">アタイ </t>
    </rPh>
    <phoneticPr fontId="18"/>
  </si>
  <si>
    <t>正解率</t>
    <rPh sb="0" eb="3">
      <t xml:space="preserve">セイカイリツ 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</si>
</sst>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11" borderId="0" xfId="1" applyFill="1">
      <alignment vertical="center"/>
    </xf>
    <xf numFmtId="0" fontId="2" fillId="12" borderId="0" xfId="1" applyFill="1">
      <alignment vertical="center"/>
    </xf>
    <xf numFmtId="0" fontId="2" fillId="0" borderId="0" xfId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"/>
  <sheetViews>
    <sheetView tabSelected="1" workbookViewId="0">
      <selection activeCell="G11" sqref="G11"/>
    </sheetView>
  </sheetViews>
  <sheetFormatPr baseColWidth="10" defaultRowHeight="20"/>
  <cols>
    <col min="9" max="9" width="12.85546875" customWidth="1"/>
    <col min="10" max="10" width="22.42578125" customWidth="1"/>
    <col min="11" max="11" width="21.7109375" customWidth="1"/>
    <col min="12" max="12" width="15.5703125" customWidth="1"/>
    <col min="13" max="13" width="18" customWidth="1"/>
  </cols>
  <sheetData>
    <row r="1" spans="1:13" ht="31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</row>
    <row r="2" spans="1:13" ht="31">
      <c r="A2" s="1" t="s">
        <v>0</v>
      </c>
      <c r="B2" s="3">
        <v>127</v>
      </c>
      <c r="C2" s="3">
        <v>28</v>
      </c>
      <c r="D2" s="3">
        <v>64</v>
      </c>
      <c r="E2" s="3">
        <v>2</v>
      </c>
      <c r="F2" s="3">
        <v>14</v>
      </c>
      <c r="G2" s="3">
        <v>19</v>
      </c>
      <c r="H2" s="3">
        <v>25</v>
      </c>
      <c r="I2" s="3">
        <f ca="1">OFFSET($B$2,ROW()-2,ROW()-2,1,1)</f>
        <v>127</v>
      </c>
      <c r="J2" s="3" cm="1">
        <f t="array" aca="1" ref="J2" ca="1">INDIRECT("RC[-1]",FALSE)/SUM($B2:INDIRECT("RC[-2]",FALSE))</f>
        <v>0.45519713261648748</v>
      </c>
      <c r="K2" s="3" cm="1">
        <f t="array" aca="1" ref="K2" ca="1">INDIRECT("RC[-2]",FALSE)/SUM(INDIRECT(SUBSTITUTE(ADDRESS(COLUMN(),ROW(),4),COLUMN(),)&amp;"2"):INDIRECT(SUBSTITUTE(ADDRESS(COLUMN(),ROW(),4),COLUMN(),)&amp;COLUMN()-3))</f>
        <v>0.42333333333333334</v>
      </c>
      <c r="L2" s="3">
        <f ca="1">HARMEAN(INDIRECT("RC[-2]",FALSE),INDIRECT("RC[-1]",FALSE))</f>
        <v>0.43868739205526769</v>
      </c>
      <c r="M2" s="3">
        <f ca="1">SUM(OFFSET($B$2,0,COLUMN()-6):OFFSET($B$2,COLUMN()-7,COLUMN()-6))/SUM($B$2:OFFSET($B$2,COLUMN()-7,COLUMN()-7))</f>
        <v>0.43904761904761902</v>
      </c>
    </row>
    <row r="3" spans="1:13" ht="31">
      <c r="A3" s="1" t="s">
        <v>1</v>
      </c>
      <c r="B3" s="3">
        <v>14</v>
      </c>
      <c r="C3" s="3">
        <v>43</v>
      </c>
      <c r="D3" s="3">
        <v>17</v>
      </c>
      <c r="E3" s="3">
        <v>0</v>
      </c>
      <c r="F3" s="3">
        <v>15</v>
      </c>
      <c r="G3" s="3">
        <v>15</v>
      </c>
      <c r="H3" s="3">
        <v>15</v>
      </c>
      <c r="I3" s="3">
        <f t="shared" ref="I3:I8" ca="1" si="0">OFFSET($B$2,ROW()-2,ROW()-2,1,1)</f>
        <v>43</v>
      </c>
      <c r="J3" s="3" cm="1">
        <f t="array" aca="1" ref="J3" ca="1">INDIRECT("RC[-1]",FALSE)/SUM($B3:INDIRECT("RC[-2]",FALSE))</f>
        <v>0.36134453781512604</v>
      </c>
      <c r="K3" s="3" cm="1">
        <f t="array" aca="1" ref="K3" ca="1">INDIRECT("RC[-2]",FALSE)/SUM(INDIRECT(SUBSTITUTE(ADDRESS(COLUMN(),ROW(),4),COLUMN(),)&amp;"2"):INDIRECT(SUBSTITUTE(ADDRESS(COLUMN(),ROW(),4),COLUMN(),)&amp;COLUMN()-3))</f>
        <v>0.14333333333333334</v>
      </c>
      <c r="L3" s="3">
        <f t="shared" ref="L3:L8" ca="1" si="1">HARMEAN(INDIRECT("RC[-2]",FALSE),INDIRECT("RC[-1]",FALSE))</f>
        <v>0.20525059665871123</v>
      </c>
      <c r="M3" s="3"/>
    </row>
    <row r="4" spans="1:13" ht="31">
      <c r="A4" s="1" t="s">
        <v>2</v>
      </c>
      <c r="B4" s="3">
        <v>11</v>
      </c>
      <c r="C4" s="3">
        <v>18</v>
      </c>
      <c r="D4" s="3">
        <v>31</v>
      </c>
      <c r="E4" s="3">
        <v>1</v>
      </c>
      <c r="F4" s="3">
        <v>7</v>
      </c>
      <c r="G4" s="3">
        <v>16</v>
      </c>
      <c r="H4" s="3">
        <v>21</v>
      </c>
      <c r="I4" s="3">
        <f t="shared" ca="1" si="0"/>
        <v>31</v>
      </c>
      <c r="J4" s="3" cm="1">
        <f t="array" aca="1" ref="J4" ca="1">INDIRECT("RC[-1]",FALSE)/SUM($B4:INDIRECT("RC[-2]",FALSE))</f>
        <v>0.29523809523809524</v>
      </c>
      <c r="K4" s="3" cm="1">
        <f t="array" aca="1" ref="K4" ca="1">INDIRECT("RC[-2]",FALSE)/SUM(INDIRECT(SUBSTITUTE(ADDRESS(COLUMN(),ROW(),4),COLUMN(),)&amp;"2"):INDIRECT(SUBSTITUTE(ADDRESS(COLUMN(),ROW(),4),COLUMN(),)&amp;COLUMN()-3))</f>
        <v>0.10333333333333333</v>
      </c>
      <c r="L4" s="3">
        <f t="shared" ca="1" si="1"/>
        <v>0.15308641975308643</v>
      </c>
      <c r="M4" s="3"/>
    </row>
    <row r="5" spans="1:13" ht="31">
      <c r="A5" s="1" t="s">
        <v>3</v>
      </c>
      <c r="B5" s="3">
        <v>28</v>
      </c>
      <c r="C5" s="3">
        <v>34</v>
      </c>
      <c r="D5" s="3">
        <v>30</v>
      </c>
      <c r="E5" s="3">
        <v>263</v>
      </c>
      <c r="F5" s="3">
        <v>33</v>
      </c>
      <c r="G5" s="3">
        <v>28</v>
      </c>
      <c r="H5" s="3">
        <v>52</v>
      </c>
      <c r="I5" s="3">
        <f t="shared" ca="1" si="0"/>
        <v>263</v>
      </c>
      <c r="J5" s="3" cm="1">
        <f t="array" aca="1" ref="J5" ca="1">INDIRECT("RC[-1]",FALSE)/SUM($B5:INDIRECT("RC[-2]",FALSE))</f>
        <v>0.56196581196581197</v>
      </c>
      <c r="K5" s="3" cm="1">
        <f t="array" aca="1" ref="K5" ca="1">INDIRECT("RC[-2]",FALSE)/SUM(INDIRECT(SUBSTITUTE(ADDRESS(COLUMN(),ROW(),4),COLUMN(),)&amp;"2"):INDIRECT(SUBSTITUTE(ADDRESS(COLUMN(),ROW(),4),COLUMN(),)&amp;COLUMN()-3))</f>
        <v>0.87666666666666671</v>
      </c>
      <c r="L5" s="3">
        <f t="shared" ca="1" si="1"/>
        <v>0.68489583333333326</v>
      </c>
      <c r="M5" s="3"/>
    </row>
    <row r="6" spans="1:13" ht="31">
      <c r="A6" s="1" t="s">
        <v>4</v>
      </c>
      <c r="B6" s="3">
        <v>51</v>
      </c>
      <c r="C6" s="3">
        <v>92</v>
      </c>
      <c r="D6" s="3">
        <v>51</v>
      </c>
      <c r="E6" s="3">
        <v>19</v>
      </c>
      <c r="F6" s="3">
        <v>164</v>
      </c>
      <c r="G6" s="3">
        <v>61</v>
      </c>
      <c r="H6" s="3">
        <v>31</v>
      </c>
      <c r="I6" s="3">
        <f t="shared" ca="1" si="0"/>
        <v>164</v>
      </c>
      <c r="J6" s="3" cm="1">
        <f t="array" aca="1" ref="J6" ca="1">INDIRECT("RC[-1]",FALSE)/SUM($B6:INDIRECT("RC[-2]",FALSE))</f>
        <v>0.34968017057569295</v>
      </c>
      <c r="K6" s="3" cm="1">
        <f t="array" aca="1" ref="K6" ca="1">INDIRECT("RC[-2]",FALSE)/SUM(INDIRECT(SUBSTITUTE(ADDRESS(COLUMN(),ROW(),4),COLUMN(),)&amp;"2"):INDIRECT(SUBSTITUTE(ADDRESS(COLUMN(),ROW(),4),COLUMN(),)&amp;COLUMN()-3))</f>
        <v>0.54666666666666663</v>
      </c>
      <c r="L6" s="3">
        <f t="shared" ca="1" si="1"/>
        <v>0.42652795838751623</v>
      </c>
      <c r="M6" s="3"/>
    </row>
    <row r="7" spans="1:13" ht="31">
      <c r="A7" s="1" t="s">
        <v>5</v>
      </c>
      <c r="B7" s="3">
        <v>57</v>
      </c>
      <c r="C7" s="3">
        <v>74</v>
      </c>
      <c r="D7" s="3">
        <v>83</v>
      </c>
      <c r="E7" s="3">
        <v>6</v>
      </c>
      <c r="F7" s="3">
        <v>58</v>
      </c>
      <c r="G7" s="3">
        <v>156</v>
      </c>
      <c r="H7" s="3">
        <v>18</v>
      </c>
      <c r="I7" s="3">
        <f t="shared" ca="1" si="0"/>
        <v>156</v>
      </c>
      <c r="J7" s="3" cm="1">
        <f t="array" aca="1" ref="J7" ca="1">INDIRECT("RC[-1]",FALSE)/SUM($B7:INDIRECT("RC[-2]",FALSE))</f>
        <v>0.34513274336283184</v>
      </c>
      <c r="K7" s="3" cm="1">
        <f t="array" aca="1" ref="K7" ca="1">INDIRECT("RC[-2]",FALSE)/SUM(INDIRECT(SUBSTITUTE(ADDRESS(COLUMN(),ROW(),4),COLUMN(),)&amp;"2"):INDIRECT(SUBSTITUTE(ADDRESS(COLUMN(),ROW(),4),COLUMN(),)&amp;COLUMN()-3))</f>
        <v>0.52</v>
      </c>
      <c r="L7" s="3">
        <f t="shared" ca="1" si="1"/>
        <v>0.41489361702127653</v>
      </c>
      <c r="M7" s="3"/>
    </row>
    <row r="8" spans="1:13" ht="31">
      <c r="A8" s="1" t="s">
        <v>6</v>
      </c>
      <c r="B8" s="3">
        <v>12</v>
      </c>
      <c r="C8" s="3">
        <v>11</v>
      </c>
      <c r="D8" s="3">
        <v>24</v>
      </c>
      <c r="E8" s="3">
        <v>9</v>
      </c>
      <c r="F8" s="3">
        <v>9</v>
      </c>
      <c r="G8" s="3">
        <v>5</v>
      </c>
      <c r="H8" s="3">
        <v>138</v>
      </c>
      <c r="I8" s="3">
        <f t="shared" ca="1" si="0"/>
        <v>138</v>
      </c>
      <c r="J8" s="3" cm="1">
        <f t="array" aca="1" ref="J8" ca="1">INDIRECT("RC[-1]",FALSE)/SUM($B8:INDIRECT("RC[-2]",FALSE))</f>
        <v>0.66346153846153844</v>
      </c>
      <c r="K8" s="3" cm="1">
        <f t="array" aca="1" ref="K8" ca="1">INDIRECT("RC[-2]",FALSE)/SUM(INDIRECT(SUBSTITUTE(ADDRESS(COLUMN(),ROW(),4),COLUMN(),)&amp;"2"):INDIRECT(SUBSTITUTE(ADDRESS(COLUMN(),ROW(),4),COLUMN(),)&amp;COLUMN()-3))</f>
        <v>0.46</v>
      </c>
      <c r="L8" s="3">
        <f t="shared" ca="1" si="1"/>
        <v>0.54330708661417326</v>
      </c>
      <c r="M8" s="3"/>
    </row>
  </sheetData>
  <phoneticPr fontId="1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confusion-1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渡邉真悟</dc:creator>
  <cp:lastModifiedBy>渡邉真悟</cp:lastModifiedBy>
  <dcterms:created xsi:type="dcterms:W3CDTF">2021-03-22T08:20:09Z</dcterms:created>
  <dcterms:modified xsi:type="dcterms:W3CDTF">2021-03-22T09:15:27Z</dcterms:modified>
</cp:coreProperties>
</file>