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WatanabeShingo/presemi/"/>
    </mc:Choice>
  </mc:AlternateContent>
  <xr:revisionPtr revIDLastSave="0" documentId="13_ncr:1_{625C8256-5FC7-BB45-BF02-0548A34DF929}" xr6:coauthVersionLast="46" xr6:coauthVersionMax="46" xr10:uidLastSave="{00000000-0000-0000-0000-000000000000}"/>
  <bookViews>
    <workbookView xWindow="640" yWindow="1000" windowWidth="27900" windowHeight="15880" xr2:uid="{00000000-000D-0000-FFFF-FFFF00000000}"/>
  </bookViews>
  <sheets>
    <sheet name="confusion-2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2" i="1"/>
  <c r="K7" i="1" a="1"/>
  <c r="J4" i="1" a="1"/>
  <c r="K4" i="1" a="1"/>
  <c r="K5" i="1" a="1"/>
  <c r="J8" i="1" a="1"/>
  <c r="K8" i="1" a="1"/>
  <c r="J6" i="1" a="1"/>
  <c r="K2" i="1" a="1"/>
  <c r="K3" i="1" a="1"/>
  <c r="K6" i="1" a="1"/>
  <c r="J2" i="1" a="1"/>
  <c r="J3" i="1" a="1"/>
  <c r="J7" i="1" a="1"/>
  <c r="J5" i="1" a="1"/>
  <c r="M2" i="1" l="1"/>
  <c r="K6" i="1"/>
  <c r="K8" i="1"/>
  <c r="K5" i="1"/>
  <c r="K4" i="1"/>
  <c r="K7" i="1"/>
  <c r="K3" i="1"/>
  <c r="K2" i="1"/>
  <c r="J6" i="1"/>
  <c r="J8" i="1"/>
  <c r="J5" i="1"/>
  <c r="J4" i="1"/>
  <c r="J7" i="1"/>
  <c r="J3" i="1"/>
  <c r="J2" i="1"/>
  <c r="L8" i="1"/>
  <c r="L7" i="1"/>
  <c r="L2" i="1"/>
  <c r="L4" i="1"/>
  <c r="L5" i="1"/>
  <c r="L6" i="1"/>
  <c r="L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<sst xmlns="http://schemas.openxmlformats.org/spreadsheetml/2006/main" count="20" uniqueCount="13">
  <si>
    <t>angry</t>
  </si>
  <si>
    <t>disgust</t>
  </si>
  <si>
    <t>fear</t>
  </si>
  <si>
    <t>happy</t>
  </si>
  <si>
    <t>neutral</t>
  </si>
  <si>
    <t>sad</t>
  </si>
  <si>
    <t>surprise</t>
  </si>
  <si>
    <t>正解数</t>
    <rPh sb="0" eb="3">
      <t xml:space="preserve">セイカイスウ </t>
    </rPh>
    <phoneticPr fontId="18"/>
  </si>
  <si>
    <t>再現率</t>
    <rPh sb="0" eb="3">
      <t xml:space="preserve">サイゲンリツ </t>
    </rPh>
    <phoneticPr fontId="18"/>
  </si>
  <si>
    <t>適合率</t>
    <rPh sb="0" eb="3">
      <t xml:space="preserve">テキゴウリツ </t>
    </rPh>
    <phoneticPr fontId="18"/>
  </si>
  <si>
    <t>F値</t>
    <rPh sb="1" eb="2">
      <t xml:space="preserve">アタイ </t>
    </rPh>
    <phoneticPr fontId="18"/>
  </si>
  <si>
    <t>正解率</t>
    <rPh sb="0" eb="3">
      <t xml:space="preserve">セイカイリツ </t>
    </rPh>
    <phoneticPr fontId="18"/>
  </si>
  <si>
    <t>列1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</si>
</sst>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0" fontId="2" fillId="0" borderId="0" xfId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M8" totalsRowShown="0" headerRowCellStyle="タイトル" dataCellStyle="タイトル">
  <autoFilter ref="A1:M8" xr:uid="{00000000-0009-0000-0100-000001000000}"/>
  <tableColumns count="13">
    <tableColumn id="1" xr3:uid="{00000000-0010-0000-0000-000001000000}" name="列1" dataCellStyle="タイトル"/>
    <tableColumn id="2" xr3:uid="{00000000-0010-0000-0000-000002000000}" name="angry" dataCellStyle="タイトル"/>
    <tableColumn id="3" xr3:uid="{00000000-0010-0000-0000-000003000000}" name="disgust" dataCellStyle="タイトル"/>
    <tableColumn id="4" xr3:uid="{00000000-0010-0000-0000-000004000000}" name="fear" dataCellStyle="タイトル"/>
    <tableColumn id="5" xr3:uid="{00000000-0010-0000-0000-000005000000}" name="happy" dataCellStyle="タイトル"/>
    <tableColumn id="6" xr3:uid="{00000000-0010-0000-0000-000006000000}" name="neutral" dataCellStyle="タイトル"/>
    <tableColumn id="7" xr3:uid="{00000000-0010-0000-0000-000007000000}" name="sad" dataCellStyle="タイトル"/>
    <tableColumn id="8" xr3:uid="{00000000-0010-0000-0000-000008000000}" name="surprise" dataCellStyle="タイトル"/>
    <tableColumn id="9" xr3:uid="{00000000-0010-0000-0000-000009000000}" name="正解数" dataCellStyle="タイトル">
      <calculatedColumnFormula>OFFSET($B$2,ROW()-2,ROW()-2,1,1)</calculatedColumnFormula>
    </tableColumn>
    <tableColumn id="10" xr3:uid="{00000000-0010-0000-0000-00000A000000}" name="再現率" dataCellStyle="タイトル">
      <calculatedColumnFormula array="1">INDIRECT("RC[-1]",FALSE)/SUM($B2:INDIRECT("RC[-2]",FALSE))</calculatedColumnFormula>
    </tableColumn>
    <tableColumn id="11" xr3:uid="{00000000-0010-0000-0000-00000B000000}" name="適合率" dataCellStyle="タイトル">
      <calculatedColumnFormula array="1">INDIRECT("RC[-2]",FALSE)/SUM(INDIRECT(SUBSTITUTE(ADDRESS(COLUMN(),ROW(),4),COLUMN(),)&amp;"2"):INDIRECT(SUBSTITUTE(ADDRESS(COLUMN(),ROW(),4),COLUMN(),)&amp;COLUMN()-3))</calculatedColumnFormula>
    </tableColumn>
    <tableColumn id="12" xr3:uid="{00000000-0010-0000-0000-00000C000000}" name="F値" dataCellStyle="タイトル">
      <calculatedColumnFormula>HARMEAN(INDIRECT("RC[-2]",FALSE),INDIRECT("RC[-1]",FALSE))</calculatedColumnFormula>
    </tableColumn>
    <tableColumn id="13" xr3:uid="{00000000-0010-0000-0000-00000D000000}" name="正解率" dataCellStyle="タイトル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8"/>
  <sheetViews>
    <sheetView tabSelected="1" workbookViewId="0">
      <selection sqref="A1:M8"/>
    </sheetView>
  </sheetViews>
  <sheetFormatPr baseColWidth="10" defaultRowHeight="20"/>
  <sheetData>
    <row r="1" spans="1:13" ht="31">
      <c r="A1" s="1" t="s">
        <v>12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</row>
    <row r="2" spans="1:13" ht="31">
      <c r="A2" s="1" t="s">
        <v>0</v>
      </c>
      <c r="B2" s="1">
        <v>130</v>
      </c>
      <c r="C2" s="1">
        <v>27</v>
      </c>
      <c r="D2" s="1">
        <v>42</v>
      </c>
      <c r="E2" s="1">
        <v>2</v>
      </c>
      <c r="F2" s="1">
        <v>13</v>
      </c>
      <c r="G2" s="1">
        <v>25</v>
      </c>
      <c r="H2" s="1">
        <v>19</v>
      </c>
      <c r="I2" s="1">
        <f ca="1">OFFSET($B$2,ROW()-2,ROW()-2,1,1)</f>
        <v>130</v>
      </c>
      <c r="J2" s="1" cm="1">
        <f t="array" aca="1" ref="J2" ca="1">INDIRECT("RC[-1]",FALSE)/SUM($B2:INDIRECT("RC[-2]",FALSE))</f>
        <v>0.50387596899224807</v>
      </c>
      <c r="K2" s="1" cm="1">
        <f t="array" aca="1" ref="K2" ca="1">INDIRECT("RC[-2]",FALSE)/SUM(INDIRECT(SUBSTITUTE(ADDRESS(COLUMN(),ROW(),4),COLUMN(),)&amp;"2"):INDIRECT(SUBSTITUTE(ADDRESS(COLUMN(),ROW(),4),COLUMN(),)&amp;COLUMN()-3))</f>
        <v>0.43333333333333335</v>
      </c>
      <c r="L2" s="1">
        <f ca="1">HARMEAN(INDIRECT("RC[-2]",FALSE),INDIRECT("RC[-1]",FALSE))</f>
        <v>0.46594982078853048</v>
      </c>
      <c r="M2" s="1">
        <f ca="1">SUM(OFFSET($B$2,0,COLUMN()-6):OFFSET($B$2,COLUMN()-7,COLUMN()-6))/SUM($B$2:OFFSET($B$2,COLUMN()-7,COLUMN()-7))</f>
        <v>0.51333333333333331</v>
      </c>
    </row>
    <row r="3" spans="1:13" ht="31">
      <c r="A3" s="1" t="s">
        <v>1</v>
      </c>
      <c r="B3" s="1">
        <v>22</v>
      </c>
      <c r="C3" s="1">
        <v>90</v>
      </c>
      <c r="D3" s="1">
        <v>16</v>
      </c>
      <c r="E3" s="1">
        <v>1</v>
      </c>
      <c r="F3" s="1">
        <v>10</v>
      </c>
      <c r="G3" s="1">
        <v>16</v>
      </c>
      <c r="H3" s="1">
        <v>13</v>
      </c>
      <c r="I3" s="1">
        <f t="shared" ref="I3:I8" ca="1" si="0">OFFSET($B$2,ROW()-2,ROW()-2,1,1)</f>
        <v>90</v>
      </c>
      <c r="J3" s="1" cm="1">
        <f t="array" aca="1" ref="J3" ca="1">INDIRECT("RC[-1]",FALSE)/SUM($B3:INDIRECT("RC[-2]",FALSE))</f>
        <v>0.5357142857142857</v>
      </c>
      <c r="K3" s="1" cm="1">
        <f t="array" aca="1" ref="K3" ca="1">INDIRECT("RC[-2]",FALSE)/SUM(INDIRECT(SUBSTITUTE(ADDRESS(COLUMN(),ROW(),4),COLUMN(),)&amp;"2"):INDIRECT(SUBSTITUTE(ADDRESS(COLUMN(),ROW(),4),COLUMN(),)&amp;COLUMN()-3))</f>
        <v>0.3</v>
      </c>
      <c r="L3" s="1">
        <f t="shared" ref="L3:L8" ca="1" si="1">HARMEAN(INDIRECT("RC[-2]",FALSE),INDIRECT("RC[-1]",FALSE))</f>
        <v>0.38461538461538458</v>
      </c>
      <c r="M3" s="1"/>
    </row>
    <row r="4" spans="1:13" ht="31">
      <c r="A4" s="1" t="s">
        <v>2</v>
      </c>
      <c r="B4" s="1">
        <v>19</v>
      </c>
      <c r="C4" s="1">
        <v>18</v>
      </c>
      <c r="D4" s="1">
        <v>96</v>
      </c>
      <c r="E4" s="1">
        <v>3</v>
      </c>
      <c r="F4" s="1">
        <v>18</v>
      </c>
      <c r="G4" s="1">
        <v>22</v>
      </c>
      <c r="H4" s="1">
        <v>36</v>
      </c>
      <c r="I4" s="1">
        <f t="shared" ca="1" si="0"/>
        <v>96</v>
      </c>
      <c r="J4" s="1" cm="1">
        <f t="array" aca="1" ref="J4" ca="1">INDIRECT("RC[-1]",FALSE)/SUM($B4:INDIRECT("RC[-2]",FALSE))</f>
        <v>0.45283018867924529</v>
      </c>
      <c r="K4" s="1" cm="1">
        <f t="array" aca="1" ref="K4" ca="1">INDIRECT("RC[-2]",FALSE)/SUM(INDIRECT(SUBSTITUTE(ADDRESS(COLUMN(),ROW(),4),COLUMN(),)&amp;"2"):INDIRECT(SUBSTITUTE(ADDRESS(COLUMN(),ROW(),4),COLUMN(),)&amp;COLUMN()-3))</f>
        <v>0.32</v>
      </c>
      <c r="L4" s="1">
        <f t="shared" ca="1" si="1"/>
        <v>0.37499999999999994</v>
      </c>
      <c r="M4" s="1"/>
    </row>
    <row r="5" spans="1:13" ht="31">
      <c r="A5" s="1" t="s">
        <v>3</v>
      </c>
      <c r="B5" s="1">
        <v>19</v>
      </c>
      <c r="C5" s="1">
        <v>32</v>
      </c>
      <c r="D5" s="1">
        <v>29</v>
      </c>
      <c r="E5" s="1">
        <v>257</v>
      </c>
      <c r="F5" s="1">
        <v>34</v>
      </c>
      <c r="G5" s="1">
        <v>22</v>
      </c>
      <c r="H5" s="1">
        <v>43</v>
      </c>
      <c r="I5" s="1">
        <f t="shared" ca="1" si="0"/>
        <v>257</v>
      </c>
      <c r="J5" s="1" cm="1">
        <f t="array" aca="1" ref="J5" ca="1">INDIRECT("RC[-1]",FALSE)/SUM($B5:INDIRECT("RC[-2]",FALSE))</f>
        <v>0.58944954128440363</v>
      </c>
      <c r="K5" s="1" cm="1">
        <f t="array" aca="1" ref="K5" ca="1">INDIRECT("RC[-2]",FALSE)/SUM(INDIRECT(SUBSTITUTE(ADDRESS(COLUMN(),ROW(),4),COLUMN(),)&amp;"2"):INDIRECT(SUBSTITUTE(ADDRESS(COLUMN(),ROW(),4),COLUMN(),)&amp;COLUMN()-3))</f>
        <v>0.85666666666666669</v>
      </c>
      <c r="L5" s="1">
        <f t="shared" ca="1" si="1"/>
        <v>0.69836956521739124</v>
      </c>
      <c r="M5" s="1"/>
    </row>
    <row r="6" spans="1:13" ht="31">
      <c r="A6" s="1" t="s">
        <v>4</v>
      </c>
      <c r="B6" s="1">
        <v>52</v>
      </c>
      <c r="C6" s="1">
        <v>71</v>
      </c>
      <c r="D6" s="1">
        <v>41</v>
      </c>
      <c r="E6" s="1">
        <v>22</v>
      </c>
      <c r="F6" s="1">
        <v>177</v>
      </c>
      <c r="G6" s="1">
        <v>45</v>
      </c>
      <c r="H6" s="1">
        <v>22</v>
      </c>
      <c r="I6" s="1">
        <f t="shared" ca="1" si="0"/>
        <v>177</v>
      </c>
      <c r="J6" s="1" cm="1">
        <f t="array" aca="1" ref="J6" ca="1">INDIRECT("RC[-1]",FALSE)/SUM($B6:INDIRECT("RC[-2]",FALSE))</f>
        <v>0.41162790697674417</v>
      </c>
      <c r="K6" s="1" cm="1">
        <f t="array" aca="1" ref="K6" ca="1">INDIRECT("RC[-2]",FALSE)/SUM(INDIRECT(SUBSTITUTE(ADDRESS(COLUMN(),ROW(),4),COLUMN(),)&amp;"2"):INDIRECT(SUBSTITUTE(ADDRESS(COLUMN(),ROW(),4),COLUMN(),)&amp;COLUMN()-3))</f>
        <v>0.59</v>
      </c>
      <c r="L6" s="1">
        <f t="shared" ca="1" si="1"/>
        <v>0.48493150684931507</v>
      </c>
      <c r="M6" s="1"/>
    </row>
    <row r="7" spans="1:13" ht="31">
      <c r="A7" s="1" t="s">
        <v>5</v>
      </c>
      <c r="B7" s="1">
        <v>48</v>
      </c>
      <c r="C7" s="1">
        <v>57</v>
      </c>
      <c r="D7" s="1">
        <v>59</v>
      </c>
      <c r="E7" s="1">
        <v>6</v>
      </c>
      <c r="F7" s="1">
        <v>43</v>
      </c>
      <c r="G7" s="1">
        <v>169</v>
      </c>
      <c r="H7" s="1">
        <v>8</v>
      </c>
      <c r="I7" s="1">
        <f t="shared" ca="1" si="0"/>
        <v>169</v>
      </c>
      <c r="J7" s="1" cm="1">
        <f t="array" aca="1" ref="J7" ca="1">INDIRECT("RC[-1]",FALSE)/SUM($B7:INDIRECT("RC[-2]",FALSE))</f>
        <v>0.43333333333333335</v>
      </c>
      <c r="K7" s="1" cm="1">
        <f t="array" aca="1" ref="K7" ca="1">INDIRECT("RC[-2]",FALSE)/SUM(INDIRECT(SUBSTITUTE(ADDRESS(COLUMN(),ROW(),4),COLUMN(),)&amp;"2"):INDIRECT(SUBSTITUTE(ADDRESS(COLUMN(),ROW(),4),COLUMN(),)&amp;COLUMN()-3))</f>
        <v>0.56333333333333335</v>
      </c>
      <c r="L7" s="1">
        <f t="shared" ca="1" si="1"/>
        <v>0.48985507246376814</v>
      </c>
      <c r="M7" s="1"/>
    </row>
    <row r="8" spans="1:13" ht="31">
      <c r="A8" s="1" t="s">
        <v>6</v>
      </c>
      <c r="B8" s="1">
        <v>10</v>
      </c>
      <c r="C8" s="1">
        <v>5</v>
      </c>
      <c r="D8" s="1">
        <v>17</v>
      </c>
      <c r="E8" s="1">
        <v>9</v>
      </c>
      <c r="F8" s="1">
        <v>5</v>
      </c>
      <c r="G8" s="1">
        <v>1</v>
      </c>
      <c r="H8" s="1">
        <v>159</v>
      </c>
      <c r="I8" s="1">
        <f t="shared" ca="1" si="0"/>
        <v>159</v>
      </c>
      <c r="J8" s="1" cm="1">
        <f t="array" aca="1" ref="J8" ca="1">INDIRECT("RC[-1]",FALSE)/SUM($B8:INDIRECT("RC[-2]",FALSE))</f>
        <v>0.77184466019417475</v>
      </c>
      <c r="K8" s="1" cm="1">
        <f t="array" aca="1" ref="K8" ca="1">INDIRECT("RC[-2]",FALSE)/SUM(INDIRECT(SUBSTITUTE(ADDRESS(COLUMN(),ROW(),4),COLUMN(),)&amp;"2"):INDIRECT(SUBSTITUTE(ADDRESS(COLUMN(),ROW(),4),COLUMN(),)&amp;COLUMN()-3))</f>
        <v>0.53</v>
      </c>
      <c r="L8" s="1">
        <f t="shared" ca="1" si="1"/>
        <v>0.62845849802371545</v>
      </c>
      <c r="M8" s="1"/>
    </row>
  </sheetData>
  <phoneticPr fontId="18"/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confusion-2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渡邉真悟</dc:creator>
  <cp:lastModifiedBy>渡邉真悟</cp:lastModifiedBy>
  <dcterms:created xsi:type="dcterms:W3CDTF">2021-03-22T08:22:10Z</dcterms:created>
  <dcterms:modified xsi:type="dcterms:W3CDTF">2021-03-22T09:15:37Z</dcterms:modified>
</cp:coreProperties>
</file>